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<sst xmlns="http://schemas.openxmlformats.org/spreadsheetml/2006/main" count="56" uniqueCount="56">
  <si>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Tipo A (130x60 cm)</t>
  </si>
  <si>
    <t xml:space="preserve">Tipo B (180x80 cm)</t>
  </si>
  <si>
    <t>Total</t>
  </si>
  <si>
    <t>Ventas</t>
  </si>
  <si>
    <t>Precio</t>
  </si>
  <si>
    <t>Ingresos</t>
  </si>
  <si>
    <t>Participacion</t>
  </si>
  <si>
    <t>Produccion</t>
  </si>
  <si>
    <t>Madera</t>
  </si>
  <si>
    <t xml:space="preserve">Pinturas y otros</t>
  </si>
  <si>
    <t xml:space="preserve">Materia Prima</t>
  </si>
  <si>
    <t xml:space="preserve">Mano de obra directa</t>
  </si>
  <si>
    <t xml:space="preserve">Energia Electrica</t>
  </si>
  <si>
    <t xml:space="preserve">COSTO DIRECTO</t>
  </si>
  <si>
    <t>Mantenimiento</t>
  </si>
  <si>
    <t xml:space="preserve">COSTO INDIRECTO</t>
  </si>
  <si>
    <t xml:space="preserve">COSTO DE FABRICACION</t>
  </si>
  <si>
    <t>MC</t>
  </si>
  <si>
    <t xml:space="preserve">Participacion MC</t>
  </si>
  <si>
    <t>Servicios</t>
  </si>
  <si>
    <t>Alquileres</t>
  </si>
  <si>
    <t xml:space="preserve">Material de escritorio</t>
  </si>
  <si>
    <t xml:space="preserve">COSTO ADM</t>
  </si>
  <si>
    <t>Publicidad</t>
  </si>
  <si>
    <t>Distribución</t>
  </si>
  <si>
    <t xml:space="preserve">COSTO DE COMER</t>
  </si>
  <si>
    <t xml:space="preserve">COSTO FINANCIERO</t>
  </si>
  <si>
    <t>DEPRECIACION</t>
  </si>
  <si>
    <t xml:space="preserve">COSTO TOTAL</t>
  </si>
  <si>
    <t>Ctunit</t>
  </si>
  <si>
    <t>Cdunit</t>
  </si>
  <si>
    <t>Mcunit</t>
  </si>
  <si>
    <t xml:space="preserve">COSTO VARIABLE</t>
  </si>
  <si>
    <t xml:space="preserve">COSTO FIJO</t>
  </si>
  <si>
    <t>Cvunitario</t>
  </si>
  <si>
    <t>Qe</t>
  </si>
  <si>
    <t>INGRESOS</t>
  </si>
  <si>
    <t xml:space="preserve">Costo de fabricacion</t>
  </si>
  <si>
    <t xml:space="preserve">Total ingresos</t>
  </si>
  <si>
    <t>EGRESOS</t>
  </si>
  <si>
    <t xml:space="preserve">Costo adm </t>
  </si>
  <si>
    <t xml:space="preserve">Costo comer </t>
  </si>
  <si>
    <t xml:space="preserve">Costo financ </t>
  </si>
  <si>
    <t>Depreciacion</t>
  </si>
  <si>
    <t xml:space="preserve">TOTAL EGRESOS</t>
  </si>
  <si>
    <t xml:space="preserve">Utilidad bruta</t>
  </si>
  <si>
    <t>Impuestos</t>
  </si>
  <si>
    <t xml:space="preserve">Utilidad neta</t>
  </si>
  <si>
    <t>Activos</t>
  </si>
  <si>
    <t>VI</t>
  </si>
  <si>
    <t>Años</t>
  </si>
  <si>
    <t>VR</t>
  </si>
  <si>
    <t>DEPREC</t>
  </si>
  <si>
    <t>Maquinaria</t>
  </si>
  <si>
    <t xml:space="preserve">Taladros Crow (x3)</t>
  </si>
  <si>
    <t xml:space="preserve">Amoladoras Crow (x3)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</si>
</sst>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8">
    <font>
      <sz val="11.000000"/>
      <color theme="1"/>
      <name val="Calibri"/>
    </font>
    <font>
      <sz val="10.000000"/>
      <name val="Arial"/>
    </font>
    <font>
      <sz val="11.000000"/>
      <name val="Calibri"/>
    </font>
    <font>
      <b/>
      <sz val="11.000000"/>
      <name val="Calibri"/>
    </font>
    <font>
      <b/>
      <sz val="10.000000"/>
      <name val="Arial"/>
    </font>
    <font>
      <b/>
      <sz val="11.000000"/>
      <color theme="1"/>
      <name val="Calibri"/>
    </font>
    <font>
      <sz val="10.000000"/>
      <name val="Calibri"/>
    </font>
    <font>
      <sz val="11.00000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D9D9D9"/>
        <bgColor indexed="22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5">
    <xf fontId="0" fillId="0" borderId="0" numFmtId="0" xfId="0" applyProtection="0">
      <protection hidden="0" locked="1"/>
    </xf>
    <xf fontId="2" fillId="0" borderId="1" numFmtId="0" xfId="0" applyFont="1" applyBorder="1" applyProtection="0">
      <protection hidden="0" locked="1"/>
    </xf>
    <xf fontId="0" fillId="0" borderId="1" numFmtId="0" xfId="0" applyBorder="1" applyProtection="0">
      <protection hidden="0" locked="1"/>
    </xf>
    <xf fontId="1" fillId="0" borderId="1" numFmtId="164" xfId="1" applyNumberFormat="1" applyFont="1" applyBorder="1" applyProtection="0">
      <protection hidden="0" locked="1"/>
    </xf>
    <xf fontId="2" fillId="2" borderId="1" numFmtId="0" xfId="0" applyFont="1" applyFill="1" applyBorder="1" applyProtection="0">
      <protection hidden="0" locked="1"/>
    </xf>
    <xf fontId="2" fillId="3" borderId="1" numFmtId="0" xfId="0" applyFont="1" applyFill="1" applyBorder="1" applyProtection="0">
      <protection hidden="0" locked="1"/>
    </xf>
    <xf fontId="3" fillId="3" borderId="1" numFmtId="0" xfId="0" applyFont="1" applyFill="1" applyBorder="1" applyProtection="0">
      <protection hidden="0" locked="1"/>
    </xf>
    <xf fontId="1" fillId="4" borderId="1" numFmtId="164" xfId="1" applyNumberFormat="1" applyFont="1" applyFill="1" applyBorder="1" applyProtection="0">
      <protection hidden="0" locked="1"/>
    </xf>
    <xf fontId="3" fillId="4" borderId="1" numFmtId="0" xfId="0" applyFont="1" applyFill="1" applyBorder="1" applyProtection="0">
      <protection hidden="0" locked="1"/>
    </xf>
    <xf fontId="4" fillId="4" borderId="1" numFmtId="164" xfId="1" applyNumberFormat="1" applyFont="1" applyFill="1" applyBorder="1" applyProtection="0">
      <protection hidden="0" locked="1"/>
    </xf>
    <xf fontId="5" fillId="0" borderId="0" numFmtId="0" xfId="0" applyFont="1" applyProtection="0">
      <protection hidden="0" locked="1"/>
    </xf>
    <xf fontId="0" fillId="0" borderId="1" numFmtId="0" xfId="0" applyBorder="1" applyProtection="0">
      <protection hidden="0" locked="1"/>
    </xf>
    <xf fontId="0" fillId="2" borderId="1" numFmtId="0" xfId="0" applyFill="1" applyBorder="1" applyProtection="0">
      <protection hidden="0" locked="1"/>
    </xf>
    <xf fontId="6" fillId="0" borderId="1" numFmtId="0" xfId="0" applyFont="1" applyBorder="1" applyProtection="0">
      <protection hidden="0" locked="1"/>
    </xf>
    <xf fontId="7" fillId="0" borderId="1" numFmtId="4" xfId="0" applyNumberFormat="1" applyFont="1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pageBreakPreview" topLeftCell="A43" zoomScale="100" workbookViewId="0">
      <selection activeCell="A1" activeCellId="0" sqref="A1"/>
    </sheetView>
  </sheetViews>
  <sheetFormatPr defaultColWidth="8.6796875" defaultRowHeight="14.25"/>
  <cols>
    <col bestFit="1" customWidth="1" min="1" max="1" style="0" width="21.953125"/>
    <col bestFit="1" customWidth="1" min="2" max="2" style="0" width="17.171875"/>
    <col bestFit="1" customWidth="1" min="3" max="3" style="0" width="17.05078125"/>
    <col customWidth="1" min="4" max="5" style="0" width="13.210000000000001"/>
    <col customWidth="1" min="6" max="6" style="0" width="16.43"/>
    <col customWidth="1" min="7" max="7" style="0" width="11.43"/>
    <col customWidth="1" min="8" max="8" style="0" width="17.859999999999999"/>
    <col customWidth="1" min="9" max="9" style="0" width="12.710000000000001"/>
  </cols>
  <sheetData>
    <row r="1" ht="14.25" customHeight="1">
      <c r="A1" s="1"/>
      <c r="B1" s="1" t="s">
        <v>0</v>
      </c>
      <c r="C1" s="1" t="s">
        <v>1</v>
      </c>
      <c r="D1" s="1" t="s">
        <v>2</v>
      </c>
      <c r="E1" s="2"/>
      <c r="F1" s="2"/>
    </row>
    <row r="2" ht="14.25" customHeight="1">
      <c r="A2" s="1" t="s">
        <v>3</v>
      </c>
      <c r="B2" s="3">
        <v>2600</v>
      </c>
      <c r="C2" s="3">
        <v>1400</v>
      </c>
      <c r="D2" s="3">
        <f>SUM(B2:C2)</f>
        <v>4000</v>
      </c>
      <c r="E2" s="3"/>
      <c r="F2" s="3"/>
    </row>
    <row r="3" ht="14.25" customHeight="1">
      <c r="A3" s="1" t="s">
        <v>4</v>
      </c>
      <c r="B3" s="3">
        <v>60</v>
      </c>
      <c r="C3" s="3">
        <v>120</v>
      </c>
      <c r="D3" s="3"/>
      <c r="E3" s="3"/>
      <c r="F3" s="3"/>
    </row>
    <row r="4" ht="14.25" customHeight="1">
      <c r="A4" s="1" t="s">
        <v>5</v>
      </c>
      <c r="B4" s="3">
        <f>B2*B3</f>
        <v>156000</v>
      </c>
      <c r="C4" s="3">
        <f>C2*C3</f>
        <v>168000</v>
      </c>
      <c r="D4" s="3">
        <f>SUM(B4:C4)</f>
        <v>324000</v>
      </c>
      <c r="E4" s="3"/>
      <c r="F4" s="3"/>
    </row>
    <row r="5" ht="14.25" customHeight="1">
      <c r="A5" s="1" t="s">
        <v>6</v>
      </c>
      <c r="B5" s="3">
        <f>B4/D4</f>
        <v>0.48148148148148145</v>
      </c>
      <c r="C5" s="3">
        <f>C4/D4</f>
        <v>0.51851851851851849</v>
      </c>
      <c r="D5" s="3"/>
      <c r="E5" s="3"/>
      <c r="F5" s="3"/>
    </row>
    <row r="6" ht="14.25" customHeight="1">
      <c r="A6" s="1"/>
      <c r="B6" s="3"/>
      <c r="C6" s="3"/>
      <c r="D6" s="3"/>
      <c r="E6" s="3"/>
      <c r="F6" s="3"/>
    </row>
    <row r="7" ht="14.25" customHeight="1">
      <c r="A7" s="1"/>
      <c r="B7" s="3"/>
      <c r="C7" s="3"/>
      <c r="D7" s="3"/>
      <c r="E7" s="3"/>
      <c r="F7" s="3"/>
    </row>
    <row r="8" ht="14.25" customHeight="1">
      <c r="A8" s="4" t="s">
        <v>7</v>
      </c>
      <c r="B8" s="3">
        <f>B2</f>
        <v>2600</v>
      </c>
      <c r="C8" s="3">
        <f>C2</f>
        <v>1400</v>
      </c>
      <c r="D8" s="3">
        <f>SUM(B8:C8)</f>
        <v>4000</v>
      </c>
      <c r="E8" s="3"/>
      <c r="F8" s="3"/>
    </row>
    <row r="9" ht="14.25" customHeight="1">
      <c r="A9" s="5" t="s">
        <v>6</v>
      </c>
      <c r="B9" s="3">
        <f>B8/D8</f>
        <v>0.65000000000000002</v>
      </c>
      <c r="C9" s="3">
        <f>C8/D8</f>
        <v>0.34999999999999998</v>
      </c>
      <c r="D9" s="3"/>
      <c r="E9" s="3"/>
      <c r="F9" s="3"/>
    </row>
    <row r="10" ht="14.25" customHeight="1">
      <c r="A10" s="1" t="s">
        <v>8</v>
      </c>
      <c r="B10" s="3">
        <f>7*B2</f>
        <v>18200</v>
      </c>
      <c r="C10" s="3">
        <f>20*C2</f>
        <v>28000</v>
      </c>
      <c r="D10" s="3">
        <f>SUM(B10:C10)</f>
        <v>46200</v>
      </c>
      <c r="E10" s="3"/>
      <c r="F10" s="3"/>
    </row>
    <row r="11" ht="14.25" customHeight="1">
      <c r="A11" s="1" t="s">
        <v>9</v>
      </c>
      <c r="B11" s="3">
        <f>D11*B9</f>
        <v>35750</v>
      </c>
      <c r="C11" s="3">
        <f>D11*C9</f>
        <v>19250</v>
      </c>
      <c r="D11" s="3">
        <f>10*10*D2/8+100*D2/80</f>
        <v>55000</v>
      </c>
      <c r="E11" s="3"/>
      <c r="F11" s="3"/>
    </row>
    <row r="12" ht="14.25" customHeight="1">
      <c r="A12" s="1" t="s">
        <v>10</v>
      </c>
      <c r="B12" s="3">
        <f>SUM(B10:B11)</f>
        <v>53950</v>
      </c>
      <c r="C12" s="3">
        <f>SUM(C10:C11)</f>
        <v>47250</v>
      </c>
      <c r="D12" s="3">
        <f>SUM(D10:D11)</f>
        <v>101200</v>
      </c>
      <c r="E12" s="3"/>
      <c r="F12" s="3"/>
    </row>
    <row r="13" ht="14.25" customHeight="1">
      <c r="A13" s="1" t="s">
        <v>11</v>
      </c>
      <c r="B13" s="3">
        <f>B9*D13</f>
        <v>97175</v>
      </c>
      <c r="C13" s="3">
        <f>C9*D13</f>
        <v>52325</v>
      </c>
      <c r="D13" s="3">
        <f>(3500*2+3000)*13*1.15</f>
        <v>149500</v>
      </c>
      <c r="E13" s="3"/>
      <c r="F13" s="3"/>
    </row>
    <row r="14" ht="14.25" customHeight="1">
      <c r="A14" s="1" t="s">
        <v>12</v>
      </c>
      <c r="B14" s="3">
        <f>B9*D14</f>
        <v>3900</v>
      </c>
      <c r="C14" s="3">
        <f>C9*D14</f>
        <v>2100</v>
      </c>
      <c r="D14" s="3">
        <f>500*12</f>
        <v>6000</v>
      </c>
      <c r="E14" s="3"/>
      <c r="F14" s="3"/>
    </row>
    <row r="15" ht="14.25" customHeight="1">
      <c r="A15" s="6" t="s">
        <v>13</v>
      </c>
      <c r="B15" s="7">
        <f>SUM(B12:B14)</f>
        <v>155025</v>
      </c>
      <c r="C15" s="7">
        <f>SUM(C12:C14)</f>
        <v>101675</v>
      </c>
      <c r="D15" s="7">
        <f>SUM(D12:D14)</f>
        <v>256700</v>
      </c>
      <c r="E15" s="3"/>
      <c r="F15" s="3"/>
    </row>
    <row r="16" ht="14.25" customHeight="1">
      <c r="A16" s="1" t="s">
        <v>14</v>
      </c>
      <c r="B16" s="3">
        <f>D16*B9</f>
        <v>1560</v>
      </c>
      <c r="C16" s="3">
        <f>D16*C9</f>
        <v>840</v>
      </c>
      <c r="D16" s="3">
        <f>200*12</f>
        <v>2400</v>
      </c>
      <c r="E16" s="3"/>
      <c r="F16" s="3"/>
    </row>
    <row r="17" ht="14.25" customHeight="1">
      <c r="A17" s="8" t="s">
        <v>15</v>
      </c>
      <c r="B17" s="7">
        <f>B9*D17</f>
        <v>1560</v>
      </c>
      <c r="C17" s="7">
        <f>C9*D17</f>
        <v>840</v>
      </c>
      <c r="D17" s="7">
        <f>SUM(D16:D16)</f>
        <v>2400</v>
      </c>
      <c r="E17" s="3"/>
      <c r="F17" s="3"/>
    </row>
    <row r="18" ht="14.25" customHeight="1">
      <c r="A18" s="8" t="s">
        <v>16</v>
      </c>
      <c r="B18" s="9">
        <f>B15+B17</f>
        <v>156585</v>
      </c>
      <c r="C18" s="9">
        <f>C15+C17</f>
        <v>102515</v>
      </c>
      <c r="D18" s="9">
        <f>SUM(B18:C18)</f>
        <v>259100</v>
      </c>
      <c r="E18" s="3"/>
      <c r="F18" s="3"/>
    </row>
    <row r="19" ht="14.25" customHeight="1">
      <c r="A19" s="1" t="s">
        <v>17</v>
      </c>
      <c r="B19" s="3">
        <f>B4-B15</f>
        <v>975</v>
      </c>
      <c r="C19" s="3">
        <f>C4-C15</f>
        <v>66325</v>
      </c>
      <c r="D19" s="3">
        <f>SUM(B19:C19)</f>
        <v>67300</v>
      </c>
      <c r="E19" s="3"/>
      <c r="F19" s="3"/>
    </row>
    <row r="20" ht="14.25" customHeight="1">
      <c r="A20" s="1" t="s">
        <v>18</v>
      </c>
      <c r="B20" s="3">
        <f>B19/D19</f>
        <v>0.01448736998514116</v>
      </c>
      <c r="C20" s="3">
        <f>C19/D19</f>
        <v>0.98551263001485889</v>
      </c>
      <c r="D20" s="3"/>
      <c r="E20" s="3"/>
      <c r="F20" s="3"/>
    </row>
    <row r="21" ht="14.25" customHeight="1">
      <c r="A21" s="4" t="s">
        <v>19</v>
      </c>
      <c r="B21" s="3"/>
      <c r="C21" s="3"/>
      <c r="D21" s="3">
        <f>350*12</f>
        <v>4200</v>
      </c>
      <c r="E21" s="3"/>
      <c r="F21" s="3"/>
    </row>
    <row r="22" ht="14.25" customHeight="1">
      <c r="A22" s="1" t="s">
        <v>20</v>
      </c>
      <c r="B22" s="3"/>
      <c r="C22" s="3"/>
      <c r="D22" s="3">
        <v>5400</v>
      </c>
      <c r="E22" s="3"/>
      <c r="F22" s="3"/>
    </row>
    <row r="23" ht="14.25" customHeight="1">
      <c r="A23" s="1" t="s">
        <v>21</v>
      </c>
      <c r="B23" s="3"/>
      <c r="C23" s="3"/>
      <c r="D23" s="3">
        <f>150*12</f>
        <v>1800</v>
      </c>
      <c r="E23" s="3"/>
      <c r="F23" s="3"/>
    </row>
    <row r="24" ht="14.25" customHeight="1">
      <c r="A24" s="6" t="s">
        <v>22</v>
      </c>
      <c r="B24" s="3">
        <f>B20*D24</f>
        <v>165.15601783060922</v>
      </c>
      <c r="C24" s="3">
        <f>C20*D24</f>
        <v>11234.843982169392</v>
      </c>
      <c r="D24" s="3">
        <f>SUM(D21:D23)</f>
        <v>11400</v>
      </c>
      <c r="E24" s="3"/>
      <c r="F24" s="3"/>
    </row>
    <row r="25" ht="14.25" customHeight="1">
      <c r="A25" s="1" t="s">
        <v>23</v>
      </c>
      <c r="B25" s="3"/>
      <c r="C25" s="3"/>
      <c r="D25" s="3">
        <f>100*12</f>
        <v>1200</v>
      </c>
      <c r="E25" s="3"/>
      <c r="F25" s="3"/>
    </row>
    <row r="26" ht="14.25" customHeight="1">
      <c r="A26" s="4" t="s">
        <v>24</v>
      </c>
      <c r="B26" s="3"/>
      <c r="C26" s="3"/>
      <c r="D26" s="3">
        <v>2000</v>
      </c>
      <c r="E26" s="3"/>
      <c r="F26" s="3"/>
    </row>
    <row r="27" ht="14.25" customHeight="1">
      <c r="A27" s="6" t="s">
        <v>25</v>
      </c>
      <c r="B27" s="3">
        <f>B20*D27</f>
        <v>46.359583952451707</v>
      </c>
      <c r="C27" s="3">
        <f>C20*D27</f>
        <v>3153.6404160475486</v>
      </c>
      <c r="D27" s="3">
        <f>SUM(D25:D26)</f>
        <v>3200</v>
      </c>
      <c r="E27" s="3"/>
      <c r="F27" s="3"/>
      <c r="G27" s="10"/>
      <c r="H27" s="10"/>
      <c r="I27" s="10"/>
    </row>
    <row r="28" ht="14.25" customHeight="1">
      <c r="A28" s="6" t="s">
        <v>26</v>
      </c>
      <c r="B28" s="3">
        <f>B20*D28</f>
        <v>217.31054977711739</v>
      </c>
      <c r="C28" s="3">
        <f>C20*D28</f>
        <v>14782.689450222884</v>
      </c>
      <c r="D28" s="3">
        <v>15000</v>
      </c>
      <c r="E28" s="3"/>
      <c r="F28" s="3"/>
      <c r="G28" s="10"/>
      <c r="H28" s="10"/>
      <c r="I28" s="10"/>
    </row>
    <row r="29" ht="14.25" customHeight="1">
      <c r="A29" s="6" t="s">
        <v>27</v>
      </c>
      <c r="B29" s="3">
        <f>B20*D29</f>
        <v>54.59323922734027</v>
      </c>
      <c r="C29" s="3">
        <f>C20*D29</f>
        <v>3713.7400941059932</v>
      </c>
      <c r="D29" s="3">
        <f>E60</f>
        <v>3768.3333333333335</v>
      </c>
      <c r="E29" s="3"/>
      <c r="F29" s="3"/>
    </row>
    <row r="30" ht="14.25" customHeight="1">
      <c r="A30" s="6" t="s">
        <v>28</v>
      </c>
      <c r="B30" s="3">
        <f>B18+B24+B27+B28+B29</f>
        <v>157068.41939078752</v>
      </c>
      <c r="C30" s="3">
        <f>C18+C24+C27+C28+C29</f>
        <v>135399.91394254583</v>
      </c>
      <c r="D30" s="3">
        <f>D18+D24+D27+D28+D29</f>
        <v>292468.33333333331</v>
      </c>
      <c r="E30" s="3"/>
      <c r="F30" s="3"/>
    </row>
    <row r="31" ht="14.25" customHeight="1">
      <c r="A31" s="1" t="s">
        <v>29</v>
      </c>
      <c r="B31" s="3">
        <f>B30/B8</f>
        <v>60.410930534918272</v>
      </c>
      <c r="C31" s="3">
        <f>C30/C8</f>
        <v>96.714224244675592</v>
      </c>
      <c r="D31" s="3"/>
      <c r="E31" s="3"/>
      <c r="F31" s="3"/>
    </row>
    <row r="32" ht="14.25" customHeight="1">
      <c r="A32" s="1" t="s">
        <v>30</v>
      </c>
      <c r="B32" s="3">
        <f>B15/B8</f>
        <v>59.625</v>
      </c>
      <c r="C32" s="3">
        <f>C15/C8</f>
        <v>72.625</v>
      </c>
      <c r="D32" s="3"/>
      <c r="E32" s="3"/>
      <c r="F32" s="3"/>
    </row>
    <row r="33" ht="14.25" customHeight="1">
      <c r="A33" s="1" t="s">
        <v>31</v>
      </c>
      <c r="B33" s="3">
        <f>B3/B32</f>
        <v>1.0062893081761006</v>
      </c>
      <c r="C33" s="3">
        <f>C3/C32</f>
        <v>1.6523235800344234</v>
      </c>
      <c r="D33" s="3"/>
      <c r="E33" s="3"/>
      <c r="F33" s="3"/>
    </row>
    <row r="34" ht="14.25" customHeight="1">
      <c r="A34" s="1" t="s">
        <v>32</v>
      </c>
      <c r="B34" s="3">
        <f>B12+B14</f>
        <v>57850</v>
      </c>
      <c r="C34" s="3">
        <f>C12+C14</f>
        <v>49350</v>
      </c>
      <c r="D34" s="3"/>
      <c r="E34" s="3"/>
      <c r="F34" s="3"/>
    </row>
    <row r="35" ht="14.25" customHeight="1">
      <c r="A35" s="4" t="s">
        <v>33</v>
      </c>
      <c r="B35" s="3">
        <f>B30-B34</f>
        <v>99218.419390787516</v>
      </c>
      <c r="C35" s="3">
        <f>C30-C34</f>
        <v>86049.913942545827</v>
      </c>
      <c r="D35" s="3"/>
      <c r="E35" s="3"/>
      <c r="F35" s="3"/>
    </row>
    <row r="36" ht="14.25" customHeight="1">
      <c r="A36" s="1" t="s">
        <v>34</v>
      </c>
      <c r="B36" s="3">
        <f>B34/B8</f>
        <v>22.25</v>
      </c>
      <c r="C36" s="3">
        <f>C34/C8</f>
        <v>35.25</v>
      </c>
      <c r="D36" s="3"/>
      <c r="E36" s="3"/>
      <c r="F36" s="3"/>
    </row>
    <row r="37" ht="14.25" customHeight="1">
      <c r="A37" s="1" t="s">
        <v>35</v>
      </c>
      <c r="B37" s="3">
        <f>B35/B8</f>
        <v>38.160930534918272</v>
      </c>
      <c r="C37" s="3">
        <f>C35/C8</f>
        <v>61.464224244675592</v>
      </c>
      <c r="D37" s="3"/>
      <c r="E37" s="3"/>
      <c r="F37" s="3"/>
    </row>
    <row r="38" ht="14.25" customHeight="1">
      <c r="A38" s="2"/>
      <c r="B38" s="3"/>
      <c r="C38" s="3"/>
      <c r="D38" s="3"/>
      <c r="E38" s="3"/>
      <c r="F38" s="3"/>
    </row>
    <row r="39" ht="14.25" customHeight="1">
      <c r="A39" s="4" t="s">
        <v>36</v>
      </c>
      <c r="B39" s="3"/>
      <c r="C39" s="3"/>
      <c r="D39" s="3"/>
      <c r="E39" s="3"/>
      <c r="F39" s="3"/>
    </row>
    <row r="40" ht="14.25" customHeight="1">
      <c r="A40" s="1" t="s">
        <v>3</v>
      </c>
      <c r="B40" s="3"/>
      <c r="C40" s="3"/>
      <c r="D40" s="3">
        <f>D4</f>
        <v>324000</v>
      </c>
      <c r="E40" s="3"/>
      <c r="F40" s="3"/>
    </row>
    <row r="41" ht="14.25" customHeight="1">
      <c r="A41" s="4" t="s">
        <v>37</v>
      </c>
      <c r="B41" s="3"/>
      <c r="C41" s="3"/>
      <c r="D41" s="3">
        <f>D18</f>
        <v>259100</v>
      </c>
      <c r="E41" s="3"/>
      <c r="F41" s="3"/>
    </row>
    <row r="42" ht="14.25" customHeight="1">
      <c r="A42" s="5" t="s">
        <v>38</v>
      </c>
      <c r="B42" s="3"/>
      <c r="C42" s="3"/>
      <c r="D42" s="3">
        <f>SUM(D40:D41)</f>
        <v>583100</v>
      </c>
      <c r="E42" s="3"/>
      <c r="F42" s="3"/>
    </row>
    <row r="43" ht="14.25" customHeight="1">
      <c r="A43" s="4" t="s">
        <v>39</v>
      </c>
      <c r="B43" s="3"/>
      <c r="C43" s="3"/>
      <c r="D43" s="3"/>
      <c r="E43" s="3"/>
      <c r="F43" s="3"/>
    </row>
    <row r="44" ht="14.25" customHeight="1">
      <c r="A44" s="1" t="s">
        <v>40</v>
      </c>
      <c r="B44" s="3"/>
      <c r="C44" s="3"/>
      <c r="D44" s="3">
        <f>D24</f>
        <v>11400</v>
      </c>
      <c r="E44" s="3"/>
      <c r="F44" s="3"/>
    </row>
    <row r="45" ht="14.25" customHeight="1">
      <c r="A45" s="1" t="s">
        <v>41</v>
      </c>
      <c r="B45" s="3"/>
      <c r="C45" s="3"/>
      <c r="D45" s="3">
        <f>D27</f>
        <v>3200</v>
      </c>
      <c r="E45" s="3"/>
      <c r="F45" s="3"/>
    </row>
    <row r="46" ht="14.25" customHeight="1">
      <c r="A46" s="1" t="s">
        <v>42</v>
      </c>
      <c r="B46" s="3"/>
      <c r="C46" s="3"/>
      <c r="D46" s="3">
        <f>D28</f>
        <v>15000</v>
      </c>
      <c r="E46" s="3"/>
      <c r="F46" s="3"/>
    </row>
    <row r="47" ht="14.25" customHeight="1">
      <c r="A47" s="1" t="s">
        <v>43</v>
      </c>
      <c r="B47" s="3"/>
      <c r="C47" s="3"/>
      <c r="D47" s="3">
        <f>D29</f>
        <v>3768.3333333333335</v>
      </c>
      <c r="E47" s="3"/>
      <c r="F47" s="3"/>
    </row>
    <row r="48" ht="14.25" customHeight="1">
      <c r="A48" s="5" t="s">
        <v>44</v>
      </c>
      <c r="B48" s="3"/>
      <c r="C48" s="3"/>
      <c r="D48" s="3">
        <f>SUM(D44:D47)</f>
        <v>33368.333333333336</v>
      </c>
      <c r="E48" s="3"/>
      <c r="F48" s="3">
        <f>2600/12</f>
        <v>216.66666666666666</v>
      </c>
    </row>
    <row r="49" ht="14.25" customHeight="1">
      <c r="A49" s="1" t="s">
        <v>45</v>
      </c>
      <c r="B49" s="3"/>
      <c r="C49" s="3"/>
      <c r="D49" s="3">
        <f>D42-D48</f>
        <v>549731.66666666663</v>
      </c>
      <c r="E49" s="3"/>
      <c r="F49" s="3">
        <f>1400/12</f>
        <v>116.66666666666667</v>
      </c>
    </row>
    <row r="50" ht="14.25" customHeight="1">
      <c r="A50" s="1" t="s">
        <v>46</v>
      </c>
      <c r="B50" s="3"/>
      <c r="C50" s="3"/>
      <c r="D50" s="3">
        <f>D49*0.25</f>
        <v>137432.91666666666</v>
      </c>
      <c r="E50" s="3"/>
      <c r="F50" s="3"/>
    </row>
    <row r="51" ht="14.25" customHeight="1">
      <c r="A51" s="1" t="s">
        <v>47</v>
      </c>
      <c r="B51" s="3"/>
      <c r="C51" s="3"/>
      <c r="D51" s="3">
        <f>D49-D50</f>
        <v>412298.75</v>
      </c>
      <c r="E51" s="3"/>
      <c r="F51" s="3"/>
    </row>
    <row r="52" ht="14.25" customHeight="1">
      <c r="A52" s="2"/>
      <c r="B52" s="3"/>
      <c r="C52" s="3"/>
      <c r="D52" s="3"/>
      <c r="E52" s="3"/>
      <c r="F52" s="3"/>
    </row>
    <row r="53" ht="14.25" customHeight="1">
      <c r="A53" s="2"/>
      <c r="B53" s="3"/>
      <c r="C53" s="3"/>
      <c r="D53" s="3"/>
      <c r="E53" s="3"/>
      <c r="F53" s="3"/>
    </row>
    <row r="54" ht="14.25" customHeight="1">
      <c r="A54" s="2"/>
      <c r="B54" s="3"/>
      <c r="C54" s="3"/>
      <c r="D54" s="3"/>
      <c r="E54" s="3"/>
      <c r="F54" s="3"/>
    </row>
    <row r="55" ht="14.25" customHeight="1">
      <c r="A55" s="11" t="s">
        <v>43</v>
      </c>
      <c r="B55" s="3"/>
      <c r="C55" s="3"/>
      <c r="D55" s="3"/>
      <c r="E55" s="3"/>
      <c r="F55" s="3"/>
    </row>
    <row r="56" ht="14.25" customHeight="1">
      <c r="A56" s="4" t="s">
        <v>48</v>
      </c>
      <c r="B56" s="3" t="s">
        <v>49</v>
      </c>
      <c r="C56" s="3" t="s">
        <v>50</v>
      </c>
      <c r="D56" s="3" t="s">
        <v>51</v>
      </c>
      <c r="E56" s="3" t="s">
        <v>52</v>
      </c>
      <c r="F56" s="3"/>
    </row>
    <row r="57" ht="14.25" customHeight="1">
      <c r="A57" s="1" t="s">
        <v>53</v>
      </c>
      <c r="B57" s="3">
        <v>20000</v>
      </c>
      <c r="C57" s="3">
        <v>6</v>
      </c>
      <c r="D57" s="3">
        <f t="shared" ref="D57:D59" si="0">B57*0.15</f>
        <v>3000</v>
      </c>
      <c r="E57" s="3">
        <f t="shared" ref="E57:E59" si="1">(B57-D57)/C57</f>
        <v>2833.3333333333335</v>
      </c>
      <c r="F57" s="3"/>
    </row>
    <row r="58" ht="14.25" customHeight="1">
      <c r="A58" s="1" t="s">
        <v>54</v>
      </c>
      <c r="B58" s="3">
        <v>1200</v>
      </c>
      <c r="C58" s="3">
        <v>3</v>
      </c>
      <c r="D58" s="3">
        <f>B58*0.15</f>
        <v>180</v>
      </c>
      <c r="E58" s="3">
        <f t="shared" si="1"/>
        <v>340</v>
      </c>
      <c r="F58" s="3"/>
    </row>
    <row r="59" ht="14.25" customHeight="1">
      <c r="A59" s="1" t="s">
        <v>55</v>
      </c>
      <c r="B59" s="3">
        <v>2100</v>
      </c>
      <c r="C59" s="3">
        <v>3</v>
      </c>
      <c r="D59" s="3">
        <f t="shared" si="0"/>
        <v>315</v>
      </c>
      <c r="E59" s="3">
        <f t="shared" si="1"/>
        <v>595</v>
      </c>
      <c r="F59" s="3"/>
    </row>
    <row r="60" ht="14.25" customHeight="1">
      <c r="A60" s="1"/>
      <c r="B60" s="3"/>
      <c r="C60" s="3"/>
      <c r="D60" s="3"/>
      <c r="E60" s="3">
        <f>SUM(E57:E59)</f>
        <v>3768.3333333333335</v>
      </c>
      <c r="F60" s="3"/>
    </row>
    <row r="61" ht="14.25" customHeight="1">
      <c r="A61" s="2"/>
      <c r="B61" s="3"/>
      <c r="C61" s="3"/>
      <c r="D61" s="3"/>
      <c r="E61"/>
      <c r="F61" s="3"/>
    </row>
    <row r="62" ht="14.25" customHeight="1">
      <c r="A62" s="12"/>
      <c r="B62" s="3"/>
      <c r="C62" s="3"/>
      <c r="D62" s="3"/>
      <c r="E62" s="3"/>
      <c r="F62" s="3"/>
    </row>
    <row r="63" ht="14.25" customHeight="1">
      <c r="A63" s="2"/>
      <c r="B63" s="3"/>
      <c r="C63" s="3"/>
      <c r="D63" s="3"/>
      <c r="E63" s="3"/>
      <c r="F63" s="3"/>
    </row>
    <row r="64" ht="14.25" customHeight="1">
      <c r="A64" s="2"/>
      <c r="B64" s="3"/>
      <c r="C64" s="3"/>
      <c r="D64" s="3"/>
      <c r="E64" s="3"/>
      <c r="F64" s="3"/>
    </row>
    <row r="65" ht="14.25" customHeight="1">
      <c r="A65" s="13"/>
      <c r="B65" s="3"/>
      <c r="C65" s="3"/>
      <c r="D65" s="3"/>
      <c r="E65" s="3"/>
      <c r="F65" s="3"/>
    </row>
    <row r="66" ht="14.25" customHeight="1">
      <c r="A66" s="2"/>
      <c r="B66" s="3"/>
      <c r="C66" s="3"/>
      <c r="D66" s="3"/>
      <c r="E66" s="3"/>
      <c r="F66" s="3"/>
    </row>
    <row r="67" ht="14.25" customHeight="1">
      <c r="A67" s="2"/>
      <c r="B67" s="3"/>
      <c r="C67" s="3"/>
      <c r="D67" s="3"/>
      <c r="E67" s="3"/>
      <c r="F67" s="3"/>
    </row>
    <row r="68" ht="14.25" customHeight="1">
      <c r="A68" s="2"/>
      <c r="B68" s="3"/>
      <c r="C68" s="3"/>
      <c r="D68" s="3"/>
      <c r="E68" s="3"/>
      <c r="F68" s="3"/>
    </row>
    <row r="69" ht="14.25" customHeight="1">
      <c r="A69" s="2"/>
      <c r="B69" s="3"/>
      <c r="C69" s="3"/>
      <c r="D69" s="3"/>
      <c r="E69" s="3"/>
      <c r="F69" s="3"/>
    </row>
    <row r="70" ht="14.25" customHeight="1">
      <c r="A70" s="2"/>
      <c r="B70" s="3"/>
      <c r="C70" s="3"/>
      <c r="D70" s="3"/>
      <c r="E70" s="3"/>
      <c r="F70" s="3"/>
    </row>
    <row r="71" ht="14.25" customHeight="1">
      <c r="A71" s="2"/>
      <c r="B71" s="3"/>
      <c r="C71" s="3"/>
      <c r="D71" s="3"/>
      <c r="E71" s="3"/>
      <c r="F71" s="3"/>
    </row>
    <row r="72" ht="14.25" customHeight="1">
      <c r="A72" s="14"/>
      <c r="B72" s="3"/>
      <c r="C72" s="3"/>
      <c r="D72" s="3"/>
      <c r="E72" s="3"/>
      <c r="F72" s="3"/>
    </row>
    <row r="73" ht="14.25" customHeight="1">
      <c r="A73" s="14"/>
      <c r="B73" s="3"/>
      <c r="C73" s="3"/>
      <c r="D73" s="3"/>
      <c r="E73" s="3"/>
      <c r="F73" s="3"/>
    </row>
    <row r="74" ht="14.25" customHeight="1">
      <c r="A74" s="14"/>
      <c r="B74" s="3"/>
      <c r="C74" s="3"/>
      <c r="D74" s="3"/>
      <c r="E74" s="3"/>
      <c r="F74" s="3"/>
    </row>
    <row r="75" ht="14.25" customHeight="1">
      <c r="A75" s="2"/>
      <c r="B75" s="3"/>
      <c r="C75" s="3"/>
      <c r="D75" s="3"/>
      <c r="E75" s="3"/>
      <c r="F75" s="3"/>
    </row>
    <row r="76" ht="14.25" customHeight="1">
      <c r="A76" s="2"/>
      <c r="B76" s="3"/>
      <c r="C76" s="3"/>
      <c r="D76" s="3"/>
      <c r="E76" s="3"/>
      <c r="F76" s="3"/>
    </row>
    <row r="77" ht="14.25" customHeight="1">
      <c r="A77" s="2"/>
      <c r="B77" s="3"/>
      <c r="C77" s="3"/>
      <c r="D77" s="3"/>
      <c r="E77" s="3"/>
      <c r="F77" s="3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3</cp:revision>
  <dcterms:created xsi:type="dcterms:W3CDTF">2026-05-11T15:13:10Z</dcterms:created>
  <dcterms:modified xsi:type="dcterms:W3CDTF">2026-05-11T17:41:24Z</dcterms:modified>
</cp:coreProperties>
</file>